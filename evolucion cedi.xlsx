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ALVAVIDAS\OneDrive - Eficacia\Desktop\Escritorio Ismael\ESCRITORIO\KAM\Proyectos IA\Visual Studio\Encuestas HTML\CEDI\"/>
    </mc:Choice>
  </mc:AlternateContent>
  <xr:revisionPtr revIDLastSave="0" documentId="13_ncr:1_{8515EFEB-1937-4CF1-8B9C-DFC312F63252}" xr6:coauthVersionLast="47" xr6:coauthVersionMax="47" xr10:uidLastSave="{00000000-0000-0000-0000-000000000000}"/>
  <bookViews>
    <workbookView xWindow="-108" yWindow="-108" windowWidth="23256" windowHeight="12456" xr2:uid="{D08C7C17-5568-4CD7-A71D-DF3C31BFFA24}"/>
  </bookViews>
  <sheets>
    <sheet name="Hoja1" sheetId="1" r:id="rId1"/>
    <sheet name="Hoja4" sheetId="4" state="hidden" r:id="rId2"/>
    <sheet name="Hoja2" sheetId="2" state="hidden" r:id="rId3"/>
    <sheet name="Hoja3" sheetId="3" state="hidden" r:id="rId4"/>
  </sheets>
  <definedNames>
    <definedName name="_xlnm._FilterDatabase" localSheetId="0" hidden="1">Hoja1!$A$30:$F$40</definedName>
    <definedName name="SegmentaciónDeDatos_Canal1">#N/A</definedName>
    <definedName name="SegmentaciónDeDatos_Canal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4" l="1"/>
  <c r="G21" i="4" s="1"/>
  <c r="G8" i="3"/>
  <c r="F4" i="3"/>
  <c r="F6" i="3"/>
  <c r="F8" i="3"/>
  <c r="G9" i="3"/>
  <c r="F5" i="3"/>
  <c r="F9" i="3"/>
  <c r="F2" i="3"/>
  <c r="F3" i="3"/>
  <c r="F7" i="3"/>
  <c r="E13" i="3"/>
  <c r="E12" i="3"/>
  <c r="E11" i="3"/>
  <c r="E10" i="3"/>
  <c r="F10" i="3" s="1"/>
  <c r="C21" i="4" l="1"/>
  <c r="D21" i="4"/>
  <c r="E21" i="4"/>
  <c r="F21" i="4"/>
  <c r="G13" i="3"/>
  <c r="F13" i="3"/>
  <c r="F12" i="3"/>
  <c r="F11" i="3"/>
</calcChain>
</file>

<file path=xl/sharedStrings.xml><?xml version="1.0" encoding="utf-8"?>
<sst xmlns="http://schemas.openxmlformats.org/spreadsheetml/2006/main" count="233" uniqueCount="76">
  <si>
    <t>Año</t>
  </si>
  <si>
    <t>Mes</t>
  </si>
  <si>
    <t>Facturación</t>
  </si>
  <si>
    <t>Diciembre</t>
  </si>
  <si>
    <t>Enero</t>
  </si>
  <si>
    <t>Canal</t>
  </si>
  <si>
    <t>Moderno</t>
  </si>
  <si>
    <t>Tradicional</t>
  </si>
  <si>
    <t>✅ Lo que necesito de tu lado</t>
  </si>
  <si>
    <t>1.  Sube el archivo (Excel .xlsx o CSV).</t>
  </si>
  <si>
    <t>2.  Dime (si aplica):</t>
  </si>
  <si>
    <t>*   Hoja(s) a usar.</t>
  </si>
  <si>
    <t>*   Columnas clave y sus nombres exactos. Sugeridos:</t>
  </si>
  <si>
    <t>*   fecha (formato fecha),</t>
  </si>
  <si>
    <t>*   canal (ej. Retail, Online, Mayoristas, Marketplace, etc.),</t>
  </si>
  <si>
    <t>*   ventas (monto),</t>
  </si>
  <si>
    <t>*   unidades (opcional),</t>
  </si>
  <si>
    <t>*   margen o costo (opcional),</t>
  </si>
  <si>
    <t>*   categoria o sku (opcional),</t>
  </si>
  <si>
    <t>*   region/ciudad (opcional).</t>
  </si>
  <si>
    <t>*   Periodicidad (diaria/semanal/mensual).</t>
  </si>
  <si>
    <t>*   Moneda (¿COP?) y si las ventas están con o sin impuestos.</t>
  </si>
  <si>
    <t>&gt; Si no tienes todo esto, no pasa nada. Con fecha, canal y ventas ya puedo empezar. Por defecto haré el análisis mensual, con variaciones MoM y YoY.</t>
  </si>
  <si>
    <t>🔎 Qué análisis haré</t>
  </si>
  <si>
    <t>*   Limpieza y estandarización</t>
  </si>
  <si>
    <t>*   Fechas, normalización de nombres de canal, manejo de vacíos/duplicados, control de outliers.</t>
  </si>
  <si>
    <t>*   KPIs por canal y en total</t>
  </si>
  <si>
    <t>*   Ventas, Unidades, Ticket promedio, Margen %, Participación de canal.</t>
  </si>
  <si>
    <t>*   Crecimientos/Decrecimientos</t>
  </si>
  <si>
    <t>*   MoM (vs mes anterior), YoY (vs mismo mes del año anterior), CAGR (si el periodo lo permite).</t>
  </si>
  <si>
    <t>*   Ganan/Pierden participación por canal.</t>
  </si>
  <si>
    <t>*   Hallazgos interesantes</t>
  </si>
  <si>
    <t>*   Top 5 canales con mayor crecimiento y mayor caída.</t>
  </si>
  <si>
    <t>*   Estacionalidad y picos/caídas con anotaciones.</t>
  </si>
  <si>
    <t>*   Canales que compensan o explican el cambio total (descomposición).</t>
  </si>
  <si>
    <t>📊 Gráficos que te voy a entregar</t>
  </si>
  <si>
    <t>Todos en español, listos para usar en reporte/presentación:</t>
  </si>
  <si>
    <t>1.  Líneas comparativas por canal (Ventas vs Tiempo) con anotaciones de picos.</t>
  </si>
  <si>
    <t>2.  Barras de variación por canal (MoM y YoY) — resaltando positivos en verde y negativos en rojo.</t>
  </si>
  <si>
    <t>3.  Heatmap de crecimiento (% YoY por canal y por mes) — ideal para ver “manchas rojas/verdes”.</t>
  </si>
  <si>
    <t>4.  Barras apiladas (mix de ventas por canal) + cambio de participación.</t>
  </si>
  <si>
    <t>5.  Waterfall del cambio total de ventas con contribución por canal.</t>
  </si>
  <si>
    <t>6.  Ranking de Top ↑ y Top ↓ (crecimientos y caídas).</t>
  </si>
  <si>
    <t>7.  (Opcional si hay categorías) Small multiples por categoría dentro de cada canal.</t>
  </si>
  <si>
    <t>&gt; Si quieres, también puedo entregarte un .pptx con las gráficas y un Excel con una hoja KPIs + Resumen.</t>
  </si>
  <si>
    <t>⚙️ Supuestos por defecto (si no indicas lo contrario)</t>
  </si>
  <si>
    <t>*   Agregaré por mes (último período completo).</t>
  </si>
  <si>
    <t>*   Métrica base: Ventas (monto); si hay Unidades y Margen, las incluyo.</t>
  </si>
  <si>
    <t>*   Comparaciones: MoM y YoY.</t>
  </si>
  <si>
    <t>*   Moneda: uso la que venga en el archivo (sin ajustar inflación, a menos que lo pidas).</t>
  </si>
  <si>
    <t>Próximos pasos</t>
  </si>
  <si>
    <t>1.  Sube el archivo aquí.</t>
  </si>
  <si>
    <t>2.  (Opcional) Responde rápido estas 4 preguntas:</t>
  </si>
  <si>
    <t>*   ¿Qué hoja uso?</t>
  </si>
  <si>
    <t>*   ¿Cómo se llaman las columnas de fecha, canal y ventas?</t>
  </si>
  <si>
    <t>*   ¿Quieres comparar 2025 vs 2024 (YoY) y también MoM?</t>
  </si>
  <si>
    <t>*   ¿Excluyo canales con ventas muy bajas (p. ej., &lt; 1% del total)?</t>
  </si>
  <si>
    <t>Indicador</t>
  </si>
  <si>
    <t>Almacenamiento</t>
  </si>
  <si>
    <t># Posiciones</t>
  </si>
  <si>
    <t>Transporte</t>
  </si>
  <si>
    <t>Cantidad</t>
  </si>
  <si>
    <t>Valor Inventario</t>
  </si>
  <si>
    <t>3-6 meses</t>
  </si>
  <si>
    <t>Rango</t>
  </si>
  <si>
    <t>0-1 mes</t>
  </si>
  <si>
    <t>1-3 meses</t>
  </si>
  <si>
    <t>6-12 meses</t>
  </si>
  <si>
    <t>&gt;12 meses</t>
  </si>
  <si>
    <t>Total Canales</t>
  </si>
  <si>
    <t>Columna1</t>
  </si>
  <si>
    <t>Columna2</t>
  </si>
  <si>
    <t>Orden rango</t>
  </si>
  <si>
    <t>% Part</t>
  </si>
  <si>
    <t>Posiciones</t>
  </si>
  <si>
    <t>Valor Posición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</si>
</sst>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0" borderId="0" xfId="0" applyFont="1"/>
    <xf numFmtId="0" fontId="3" fillId="2" borderId="1" xfId="0" applyFont="1" applyFill="1" applyBorder="1"/>
    <xf numFmtId="0" fontId="3" fillId="2" borderId="2" xfId="0" applyFont="1" applyFill="1" applyBorder="1"/>
    <xf numFmtId="0" fontId="0" fillId="0" borderId="1" xfId="0" applyFont="1" applyBorder="1"/>
    <xf numFmtId="164" fontId="0" fillId="0" borderId="0" xfId="0" applyNumberFormat="1"/>
    <xf numFmtId="9" fontId="0" fillId="0" borderId="0" xfId="2" applyFont="1"/>
    <xf numFmtId="9" fontId="0" fillId="3" borderId="2" xfId="2" applyNumberFormat="1" applyFont="1" applyFill="1" applyBorder="1"/>
    <xf numFmtId="9" fontId="0" fillId="0" borderId="2" xfId="2" applyNumberFormat="1" applyFont="1" applyBorder="1"/>
    <xf numFmtId="164" fontId="0" fillId="3" borderId="2" xfId="1" applyNumberFormat="1" applyFont="1" applyFill="1" applyBorder="1"/>
    <xf numFmtId="164" fontId="0" fillId="0" borderId="2" xfId="1" applyNumberFormat="1" applyFont="1" applyBorder="1"/>
    <xf numFmtId="9" fontId="0" fillId="0" borderId="0" xfId="2" applyFont="1" applyAlignment="1">
      <alignment horizontal="center"/>
    </xf>
    <xf numFmtId="0" fontId="0" fillId="3" borderId="1" xfId="0" applyFont="1" applyFill="1" applyBorder="1" applyAlignment="1">
      <alignment horizontal="center"/>
    </xf>
    <xf numFmtId="0" fontId="0" fillId="0" borderId="1" xfId="0" applyFont="1" applyBorder="1" applyAlignment="1">
      <alignment horizontal="center"/>
    </xf>
  </cellXfs>
  <cellStyles count="3">
    <cellStyle name="Moneda" xfId="1" builtinId="4"/>
    <cellStyle name="Normal" xfId="0" builtinId="0"/>
    <cellStyle name="Porcentaje" xfId="2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\ * #,##0_-;\-&quot;$&quot;\ * #,##0_-;_-&quot;$&quot;\ * &quot;-&quot;??_-;_-@_-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64" formatCode="_-&quot;$&quot;\ * #,##0_-;\-&quot;$&quot;\ * #,##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\ * #,##0_-;\-&quot;$&quot;\ * #,##0_-;_-&quot;$&quot;\ * &quot;-&quot;??_-;_-@_-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5" Type="http://schemas.microsoft.com/office/2007/relationships/slicerCache" Target="slicerCaches/slicerCach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Hoja4!$F$1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Hoja4!$A$2:$E$11</c15:sqref>
                  </c15:fullRef>
                  <c15:levelRef>
                    <c15:sqref>Hoja4!$C$2:$C$11</c15:sqref>
                  </c15:levelRef>
                </c:ext>
              </c:extLst>
              <c:f>Hoja4!$C$2:$C$11</c:f>
              <c:strCache>
                <c:ptCount val="5"/>
                <c:pt idx="0">
                  <c:v>0-1 mes</c:v>
                </c:pt>
                <c:pt idx="1">
                  <c:v>1-3 meses</c:v>
                </c:pt>
                <c:pt idx="2">
                  <c:v>3-6 meses</c:v>
                </c:pt>
                <c:pt idx="3">
                  <c:v>6-12 meses</c:v>
                </c:pt>
                <c:pt idx="4">
                  <c:v>&gt;12 meses</c:v>
                </c:pt>
              </c:strCache>
            </c:strRef>
          </c:cat>
          <c:val>
            <c:numRef>
              <c:f>Hoja4!$F$2:$F$11</c:f>
              <c:numCache>
                <c:formatCode>#,##0</c:formatCode>
                <c:ptCount val="5"/>
                <c:pt idx="0">
                  <c:v>9619</c:v>
                </c:pt>
                <c:pt idx="1">
                  <c:v>8168</c:v>
                </c:pt>
                <c:pt idx="2">
                  <c:v>7030</c:v>
                </c:pt>
                <c:pt idx="3">
                  <c:v>455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4-43E5-B5E5-01BB5E58B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15754896"/>
        <c:axId val="515753096"/>
      </c:barChart>
      <c:lineChart>
        <c:grouping val="standard"/>
        <c:varyColors val="0"/>
        <c:ser>
          <c:idx val="1"/>
          <c:order val="1"/>
          <c:tx>
            <c:strRef>
              <c:f>Hoja4!$G$1</c:f>
              <c:strCache>
                <c:ptCount val="1"/>
                <c:pt idx="0">
                  <c:v>Valor Inventario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Hoja4!$A$2:$E$11</c15:sqref>
                  </c15:fullRef>
                  <c15:levelRef>
                    <c15:sqref>Hoja4!$C$2:$C$11</c15:sqref>
                  </c15:levelRef>
                </c:ext>
              </c:extLst>
              <c:f>Hoja4!$C$2:$C$11</c:f>
              <c:strCache>
                <c:ptCount val="5"/>
                <c:pt idx="0">
                  <c:v>0-1 mes</c:v>
                </c:pt>
                <c:pt idx="1">
                  <c:v>1-3 meses</c:v>
                </c:pt>
                <c:pt idx="2">
                  <c:v>3-6 meses</c:v>
                </c:pt>
                <c:pt idx="3">
                  <c:v>6-12 meses</c:v>
                </c:pt>
                <c:pt idx="4">
                  <c:v>&gt;12 meses</c:v>
                </c:pt>
              </c:strCache>
            </c:strRef>
          </c:cat>
          <c:val>
            <c:numRef>
              <c:f>Hoja4!$G$2:$G$11</c:f>
              <c:numCache>
                <c:formatCode>_-"$"\ * #,##0_-;\-"$"\ * #,##0_-;_-"$"\ * "-"??_-;_-@_-</c:formatCode>
                <c:ptCount val="5"/>
                <c:pt idx="0">
                  <c:v>149440877</c:v>
                </c:pt>
                <c:pt idx="1">
                  <c:v>143764796</c:v>
                </c:pt>
                <c:pt idx="2">
                  <c:v>77016131</c:v>
                </c:pt>
                <c:pt idx="3">
                  <c:v>7846428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C4-43E5-B5E5-01BB5E58B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098976"/>
        <c:axId val="591097896"/>
      </c:lineChart>
      <c:catAx>
        <c:axId val="515754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5753096"/>
        <c:crosses val="autoZero"/>
        <c:auto val="1"/>
        <c:lblAlgn val="ctr"/>
        <c:lblOffset val="100"/>
        <c:noMultiLvlLbl val="0"/>
      </c:catAx>
      <c:valAx>
        <c:axId val="51575309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5754896"/>
        <c:crosses val="autoZero"/>
        <c:crossBetween val="between"/>
      </c:valAx>
      <c:valAx>
        <c:axId val="591097896"/>
        <c:scaling>
          <c:orientation val="minMax"/>
        </c:scaling>
        <c:delete val="0"/>
        <c:axPos val="r"/>
        <c:numFmt formatCode="_-&quot;$&quot;\ * #,##0_-;\-&quot;$&quot;\ * #,##0_-;_-&quot;$&quot;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91098976"/>
        <c:crosses val="max"/>
        <c:crossBetween val="between"/>
      </c:valAx>
      <c:catAx>
        <c:axId val="5910989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9109789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Hoja3!$E$1</c:f>
              <c:strCache>
                <c:ptCount val="1"/>
                <c:pt idx="0">
                  <c:v>Facturación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Hoja3!$A$2:$D$13</c:f>
              <c:multiLvlStrCache>
                <c:ptCount val="4"/>
                <c:lvl>
                  <c:pt idx="0">
                    <c:v>Tradicional</c:v>
                  </c:pt>
                  <c:pt idx="1">
                    <c:v>Tradicional</c:v>
                  </c:pt>
                  <c:pt idx="2">
                    <c:v>Tradicional</c:v>
                  </c:pt>
                  <c:pt idx="3">
                    <c:v>Tradicional</c:v>
                  </c:pt>
                </c:lvl>
                <c:lvl>
                  <c:pt idx="0">
                    <c:v>Diciembre</c:v>
                  </c:pt>
                  <c:pt idx="1">
                    <c:v>Diciembre</c:v>
                  </c:pt>
                  <c:pt idx="2">
                    <c:v>Enero</c:v>
                  </c:pt>
                  <c:pt idx="3">
                    <c:v>Enero</c:v>
                  </c:pt>
                </c:lvl>
                <c:lvl>
                  <c:pt idx="0">
                    <c:v>2024</c:v>
                  </c:pt>
                  <c:pt idx="1">
                    <c:v>2025</c:v>
                  </c:pt>
                  <c:pt idx="2">
                    <c:v>2025</c:v>
                  </c:pt>
                  <c:pt idx="3">
                    <c:v>2026</c:v>
                  </c:pt>
                </c:lvl>
                <c:lvl>
                  <c:pt idx="0">
                    <c:v>Transporte</c:v>
                  </c:pt>
                  <c:pt idx="1">
                    <c:v>Transporte</c:v>
                  </c:pt>
                  <c:pt idx="2">
                    <c:v>Transporte</c:v>
                  </c:pt>
                  <c:pt idx="3">
                    <c:v>Transporte</c:v>
                  </c:pt>
                </c:lvl>
              </c:multiLvlStrCache>
            </c:multiLvlStrRef>
          </c:cat>
          <c:val>
            <c:numRef>
              <c:f>Hoja3!$E$2:$E$13</c:f>
              <c:numCache>
                <c:formatCode>_-"$"\ * #,##0_-;\-"$"\ * #,##0_-;_-"$"\ * "-"??_-;_-@_-</c:formatCode>
                <c:ptCount val="4"/>
                <c:pt idx="0">
                  <c:v>82485131</c:v>
                </c:pt>
                <c:pt idx="1">
                  <c:v>225685382</c:v>
                </c:pt>
                <c:pt idx="2">
                  <c:v>69671000</c:v>
                </c:pt>
                <c:pt idx="3">
                  <c:v>37661254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A5-41EA-9887-00398B4CD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279488"/>
        <c:axId val="743280568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Hoja3!$F$1</c15:sqref>
                        </c15:formulaRef>
                      </c:ext>
                    </c:extLst>
                    <c:strCache>
                      <c:ptCount val="1"/>
                      <c:pt idx="0">
                        <c:v>Columna1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Hoja3!$A$2:$D$13</c15:sqref>
                        </c15:formulaRef>
                      </c:ext>
                    </c:extLst>
                    <c:multiLvlStrCache>
                      <c:ptCount val="4"/>
                      <c:lvl>
                        <c:pt idx="0">
                          <c:v>Tradicional</c:v>
                        </c:pt>
                        <c:pt idx="1">
                          <c:v>Tradicional</c:v>
                        </c:pt>
                        <c:pt idx="2">
                          <c:v>Tradicional</c:v>
                        </c:pt>
                        <c:pt idx="3">
                          <c:v>Tradicional</c:v>
                        </c:pt>
                      </c:lvl>
                      <c:lvl>
                        <c:pt idx="0">
                          <c:v>Diciembre</c:v>
                        </c:pt>
                        <c:pt idx="1">
                          <c:v>Diciembre</c:v>
                        </c:pt>
                        <c:pt idx="2">
                          <c:v>Enero</c:v>
                        </c:pt>
                        <c:pt idx="3">
                          <c:v>Enero</c:v>
                        </c:pt>
                      </c:lvl>
                      <c:lvl>
                        <c:pt idx="0">
                          <c:v>2024</c:v>
                        </c:pt>
                        <c:pt idx="1">
                          <c:v>2025</c:v>
                        </c:pt>
                        <c:pt idx="2">
                          <c:v>2025</c:v>
                        </c:pt>
                        <c:pt idx="3">
                          <c:v>2026</c:v>
                        </c:pt>
                      </c:lvl>
                      <c:lvl>
                        <c:pt idx="0">
                          <c:v>Transporte</c:v>
                        </c:pt>
                        <c:pt idx="1">
                          <c:v>Transporte</c:v>
                        </c:pt>
                        <c:pt idx="2">
                          <c:v>Transporte</c:v>
                        </c:pt>
                        <c:pt idx="3">
                          <c:v>Transporte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Hoja3!$F$2:$F$13</c15:sqref>
                        </c15:formulaRef>
                      </c:ext>
                    </c:extLst>
                    <c:numCache>
                      <c:formatCode>0%</c:formatCode>
                      <c:ptCount val="4"/>
                      <c:pt idx="0">
                        <c:v>0</c:v>
                      </c:pt>
                      <c:pt idx="1">
                        <c:v>1.7360735112368313</c:v>
                      </c:pt>
                      <c:pt idx="2">
                        <c:v>-0.69129148116469497</c:v>
                      </c:pt>
                      <c:pt idx="3">
                        <c:v>-0.45944146057900703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A5-41EA-9887-00398B4CDD45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Hoja3!$G$1</c15:sqref>
                        </c15:formulaRef>
                      </c:ext>
                    </c:extLst>
                    <c:strCache>
                      <c:ptCount val="1"/>
                      <c:pt idx="0">
                        <c:v>Columna2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xmlns:c15="http://schemas.microsoft.com/office/drawing/2012/chart" uri="{02D57815-91ED-43cb-92C2-25804820EDAC}">
                        <c15:formulaRef>
                          <c15:sqref>Hoja3!$A$2:$D$13</c15:sqref>
                        </c15:formulaRef>
                      </c:ext>
                    </c:extLst>
                    <c:multiLvlStrCache>
                      <c:ptCount val="4"/>
                      <c:lvl>
                        <c:pt idx="0">
                          <c:v>Tradicional</c:v>
                        </c:pt>
                        <c:pt idx="1">
                          <c:v>Tradicional</c:v>
                        </c:pt>
                        <c:pt idx="2">
                          <c:v>Tradicional</c:v>
                        </c:pt>
                        <c:pt idx="3">
                          <c:v>Tradicional</c:v>
                        </c:pt>
                      </c:lvl>
                      <c:lvl>
                        <c:pt idx="0">
                          <c:v>Diciembre</c:v>
                        </c:pt>
                        <c:pt idx="1">
                          <c:v>Diciembre</c:v>
                        </c:pt>
                        <c:pt idx="2">
                          <c:v>Enero</c:v>
                        </c:pt>
                        <c:pt idx="3">
                          <c:v>Enero</c:v>
                        </c:pt>
                      </c:lvl>
                      <c:lvl>
                        <c:pt idx="0">
                          <c:v>2024</c:v>
                        </c:pt>
                        <c:pt idx="1">
                          <c:v>2025</c:v>
                        </c:pt>
                        <c:pt idx="2">
                          <c:v>2025</c:v>
                        </c:pt>
                        <c:pt idx="3">
                          <c:v>2026</c:v>
                        </c:pt>
                      </c:lvl>
                      <c:lvl>
                        <c:pt idx="0">
                          <c:v>Transporte</c:v>
                        </c:pt>
                        <c:pt idx="1">
                          <c:v>Transporte</c:v>
                        </c:pt>
                        <c:pt idx="2">
                          <c:v>Transporte</c:v>
                        </c:pt>
                        <c:pt idx="3">
                          <c:v>Transporte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Hoja3!$G$2:$G$13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3" formatCode="0%">
                        <c:v>-0.83312497395156948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CA5-41EA-9887-00398B4CDD45}"/>
                  </c:ext>
                </c:extLst>
              </c15:ser>
            </c15:filteredBarSeries>
          </c:ext>
        </c:extLst>
      </c:barChart>
      <c:catAx>
        <c:axId val="74327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3280568"/>
        <c:crosses val="autoZero"/>
        <c:auto val="1"/>
        <c:lblAlgn val="ctr"/>
        <c:lblOffset val="100"/>
        <c:noMultiLvlLbl val="0"/>
      </c:catAx>
      <c:valAx>
        <c:axId val="743280568"/>
        <c:scaling>
          <c:orientation val="minMax"/>
        </c:scaling>
        <c:delete val="0"/>
        <c:axPos val="l"/>
        <c:numFmt formatCode="_-&quot;$&quot;\ * #,##0_-;\-&quot;$&quot;\ * #,##0_-;_-&quot;$&quot;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327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175260</xdr:colOff>
      <xdr:row>6</xdr:row>
      <xdr:rowOff>11430</xdr:rowOff>
    </xdr:from>
    <xdr:to>
      <xdr:col>18</xdr:col>
      <xdr:colOff>312420</xdr:colOff>
      <xdr:row>25</xdr:row>
      <xdr:rowOff>160020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CDAB178-715E-1E9C-3C40-7B620B3E7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8</xdr:col>
      <xdr:colOff>441960</xdr:colOff>
      <xdr:row>18</xdr:row>
      <xdr:rowOff>68580</xdr:rowOff>
    </xdr:from>
    <xdr:to>
      <xdr:col>10</xdr:col>
      <xdr:colOff>685800</xdr:colOff>
      <xdr:row>32</xdr:row>
      <xdr:rowOff>89535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7" name="Canal 2">
              <a:extLst>
                <a:ext uri="{FF2B5EF4-FFF2-40B4-BE49-F238E27FC236}">
                  <a16:creationId xmlns:a16="http://schemas.microsoft.com/office/drawing/2014/main" id="{40C12DBF-B7B8-4AFB-EBFA-EE843BF59AC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70420" y="2446020"/>
              <a:ext cx="1828800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60960</xdr:colOff>
      <xdr:row>23</xdr:row>
      <xdr:rowOff>0</xdr:rowOff>
    </xdr:from>
    <xdr:to>
      <xdr:col>2</xdr:col>
      <xdr:colOff>304800</xdr:colOff>
      <xdr:row>37</xdr:row>
      <xdr:rowOff>20955</xdr:rowOff>
    </xdr:to>
    <mc:AlternateContent xmlns:mc="http://schemas.openxmlformats.org/markup-compatibility/2006">
      <mc:Choice xmlns:sle15="http://schemas.microsoft.com/office/drawing/2012/slicer" Requires="sle15">
        <xdr:graphicFrame macro="">
          <xdr:nvGraphicFramePr>
            <xdr:cNvPr id="2" name="Canal 1">
              <a:extLst>
                <a:ext uri="{FF2B5EF4-FFF2-40B4-BE49-F238E27FC236}">
                  <a16:creationId xmlns:a16="http://schemas.microsoft.com/office/drawing/2014/main" id="{E1F61EF2-CDF0-6D27-D37F-BD5F9648DC3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960" y="2743200"/>
              <a:ext cx="1828800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>
    <xdr:from>
      <xdr:col>7</xdr:col>
      <xdr:colOff>144780</xdr:colOff>
      <xdr:row>1</xdr:row>
      <xdr:rowOff>0</xdr:rowOff>
    </xdr:from>
    <xdr:to>
      <xdr:col>13</xdr:col>
      <xdr:colOff>419100</xdr:colOff>
      <xdr:row>29</xdr:row>
      <xdr:rowOff>144780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4904DF3-F23D-77F4-93EF-D1D50E2CEF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1" xr10:uid="{7CB9744A-F2EE-4D7A-AE49-A6F86783761D}" sourceName="Canal">
  <extLst>
    <x:ext xmlns:x15="http://schemas.microsoft.com/office/spreadsheetml/2010/11/main" uri="{2F2917AC-EB37-4324-AD4E-5DD8C200BD13}">
      <x15:tableSlicerCache tableId="2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2" xr10:uid="{C6381C23-FEE9-4F38-A608-85E56377A185}" sourceName="Canal">
  <extLst>
    <x:ext xmlns:x15="http://schemas.microsoft.com/office/spreadsheetml/2010/11/main" uri="{2F2917AC-EB37-4324-AD4E-5DD8C200BD13}">
      <x15:tableSlicerCache tableId="3" column="4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2" xr10:uid="{5DBCCD98-FCEF-4F20-A951-C39114C01301}" cache="SegmentaciónDeDatos_Canal2" caption="Canal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1" xr10:uid="{75EF51F6-05C7-4F92-AD1E-C09CCBDEC204}" cache="SegmentaciónDeDatos_Canal1" caption="Canal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CE3FEF3-24CE-4C40-9D70-4EF8DFE0A7F7}" name="Tabla1" displayName="Tabla1" ref="A2:F10" totalsRowShown="0">
  <autoFilter ref="A2:F10" xr:uid="{5CE3FEF3-24CE-4C40-9D70-4EF8DFE0A7F7}"/>
  <tableColumns count="6">
    <tableColumn id="1" xr3:uid="{AFB5A9F0-2654-417C-B0D5-27564B0FBFFD}" name="Indicador"/>
    <tableColumn id="2" xr3:uid="{545E9B83-EF34-4609-8FBC-732280492E15}" name="Año"/>
    <tableColumn id="3" xr3:uid="{3183BDD3-13DE-418A-9351-323B188C626F}" name="Mes"/>
    <tableColumn id="4" xr3:uid="{D152D224-AB0E-4CE0-9B03-418ACE35ACAA}" name="Canal"/>
    <tableColumn id="5" xr3:uid="{9EFB9666-4780-44F6-9A5A-37E7C39A06FB}" name="# Posiciones" dataDxfId="6"/>
    <tableColumn id="6" xr3:uid="{F4D0A00E-A812-4904-B194-84CD77BA4D10}" name="Facturación" dataDxfId="5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8E102B-3F20-45CB-BF1E-99B10E930260}" name="Tabla3" displayName="Tabla3" ref="A1:G11" totalsRowShown="0">
  <autoFilter ref="A1:G11" xr:uid="{0C8E102B-3F20-45CB-BF1E-99B10E930260}">
    <filterColumn colId="0">
      <filters>
        <filter val="Moderno"/>
      </filters>
    </filterColumn>
  </autoFilter>
  <sortState xmlns:xlrd2="http://schemas.microsoft.com/office/spreadsheetml/2017/richdata2" ref="A2:G11">
    <sortCondition ref="A2:A11"/>
    <sortCondition ref="B2:B11"/>
    <sortCondition ref="E2:E11"/>
  </sortState>
  <tableColumns count="7">
    <tableColumn id="4" xr3:uid="{FC3F1DD2-81D2-4322-865E-4CDDEEB5A486}" name="Canal"/>
    <tableColumn id="7" xr3:uid="{7CE3EB69-14B6-4CC3-9F67-B7C7B7A9031F}" name="Orden rango"/>
    <tableColumn id="1" xr3:uid="{9E8A07B1-C606-47BE-91E8-01126A9CA192}" name="Rango"/>
    <tableColumn id="2" xr3:uid="{02F685B3-FC72-4371-855A-9390E47D88E8}" name="Año"/>
    <tableColumn id="3" xr3:uid="{3090BCE7-0BCB-4DD1-ACDF-5D73FD955982}" name="Mes"/>
    <tableColumn id="5" xr3:uid="{E5772E85-05B7-4E85-AA35-84453346BF01}" name="Cantidad" dataDxfId="1"/>
    <tableColumn id="6" xr3:uid="{D7B6F5EA-1492-41CA-A130-3C2F9FD23044}" name="Valor Inventario" dataDxfId="0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B7CB75-42B3-4C09-8617-C046E589E6FF}" name="Tabla2" displayName="Tabla2" ref="A1:G13" totalsRowShown="0">
  <autoFilter ref="A1:G13" xr:uid="{2FB7CB75-42B3-4C09-8617-C046E589E6FF}">
    <filterColumn colId="3">
      <filters>
        <filter val="Tradicional"/>
      </filters>
    </filterColumn>
  </autoFilter>
  <tableColumns count="7">
    <tableColumn id="1" xr3:uid="{10C07BF9-443D-4995-8932-C44E8D426D3F}" name="Indicador"/>
    <tableColumn id="2" xr3:uid="{CCA48BDB-F2F4-4771-BC22-C4855A5B72E3}" name="Año"/>
    <tableColumn id="3" xr3:uid="{551FB4E3-E4FB-466A-9F53-BAFA65D5934D}" name="Mes"/>
    <tableColumn id="4" xr3:uid="{DA1C07A4-82B7-4903-8806-C865BB250263}" name="Canal" dataDxfId="4"/>
    <tableColumn id="5" xr3:uid="{D06C9101-4006-44B8-B3EC-059062D455BB}" name="Facturación" dataDxfId="3"/>
    <tableColumn id="7" xr3:uid="{BCC0A720-7528-4973-8293-8C9A60EED877}" name="Columna1" dataDxfId="2" dataCellStyle="Porcentaje">
      <calculatedColumnFormula>(E2-E1)/E1</calculatedColumnFormula>
    </tableColumn>
    <tableColumn id="8" xr3:uid="{71310D9C-189B-41C9-B49C-EB1253792BB5}" name="Columna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F1800-0519-45C4-A152-3381840088AA}">
  <dimension ref="A2:G40"/>
  <sheetViews>
    <sheetView tabSelected="1" topLeftCell="A19" workbookViewId="0">
      <selection activeCell="I38" sqref="I38"/>
    </sheetView>
  </sheetViews>
  <sheetFormatPr baseColWidth="10" defaultRowHeight="14.4" x14ac:dyDescent="0.3"/>
  <cols>
    <col min="5" max="5" width="13.77734375" bestFit="1" customWidth="1"/>
    <col min="6" max="6" width="17.6640625" customWidth="1"/>
    <col min="7" max="7" width="12.5546875" bestFit="1" customWidth="1"/>
  </cols>
  <sheetData>
    <row r="2" spans="1:6" x14ac:dyDescent="0.3">
      <c r="A2" t="s">
        <v>57</v>
      </c>
      <c r="B2" t="s">
        <v>0</v>
      </c>
      <c r="C2" t="s">
        <v>1</v>
      </c>
      <c r="D2" t="s">
        <v>5</v>
      </c>
      <c r="E2" t="s">
        <v>59</v>
      </c>
      <c r="F2" t="s">
        <v>2</v>
      </c>
    </row>
    <row r="3" spans="1:6" x14ac:dyDescent="0.3">
      <c r="A3" t="s">
        <v>58</v>
      </c>
      <c r="B3">
        <v>2024</v>
      </c>
      <c r="C3" t="s">
        <v>3</v>
      </c>
      <c r="D3" t="s">
        <v>7</v>
      </c>
      <c r="E3" s="2">
        <v>1742</v>
      </c>
      <c r="F3" s="1">
        <v>102916418</v>
      </c>
    </row>
    <row r="4" spans="1:6" x14ac:dyDescent="0.3">
      <c r="A4" t="s">
        <v>58</v>
      </c>
      <c r="B4">
        <v>2025</v>
      </c>
      <c r="C4" t="s">
        <v>4</v>
      </c>
      <c r="D4" t="s">
        <v>7</v>
      </c>
      <c r="E4" s="2">
        <v>607</v>
      </c>
      <c r="F4" s="1">
        <v>35860666</v>
      </c>
    </row>
    <row r="5" spans="1:6" x14ac:dyDescent="0.3">
      <c r="A5" t="s">
        <v>58</v>
      </c>
      <c r="B5">
        <v>2025</v>
      </c>
      <c r="C5" t="s">
        <v>3</v>
      </c>
      <c r="D5" t="s">
        <v>7</v>
      </c>
      <c r="E5" s="2">
        <v>1515</v>
      </c>
      <c r="F5" s="1">
        <v>98520360</v>
      </c>
    </row>
    <row r="6" spans="1:6" x14ac:dyDescent="0.3">
      <c r="A6" t="s">
        <v>58</v>
      </c>
      <c r="B6">
        <v>2026</v>
      </c>
      <c r="C6" t="s">
        <v>4</v>
      </c>
      <c r="D6" t="s">
        <v>7</v>
      </c>
      <c r="E6" s="2">
        <v>563</v>
      </c>
      <c r="F6" s="1">
        <v>35012860</v>
      </c>
    </row>
    <row r="7" spans="1:6" x14ac:dyDescent="0.3">
      <c r="A7" t="s">
        <v>58</v>
      </c>
      <c r="B7">
        <v>2024</v>
      </c>
      <c r="C7" t="s">
        <v>3</v>
      </c>
      <c r="D7" t="s">
        <v>6</v>
      </c>
      <c r="E7" s="2">
        <v>1015</v>
      </c>
      <c r="F7" s="1">
        <v>60011598</v>
      </c>
    </row>
    <row r="8" spans="1:6" x14ac:dyDescent="0.3">
      <c r="A8" t="s">
        <v>58</v>
      </c>
      <c r="B8">
        <v>2025</v>
      </c>
      <c r="C8" t="s">
        <v>4</v>
      </c>
      <c r="D8" t="s">
        <v>6</v>
      </c>
      <c r="E8" s="2">
        <v>175</v>
      </c>
      <c r="F8" s="1">
        <v>10362806</v>
      </c>
    </row>
    <row r="9" spans="1:6" x14ac:dyDescent="0.3">
      <c r="A9" t="s">
        <v>58</v>
      </c>
      <c r="B9">
        <v>2025</v>
      </c>
      <c r="C9" t="s">
        <v>3</v>
      </c>
      <c r="D9" t="s">
        <v>6</v>
      </c>
      <c r="E9" s="2">
        <v>249</v>
      </c>
      <c r="F9" s="1">
        <v>15457684</v>
      </c>
    </row>
    <row r="10" spans="1:6" x14ac:dyDescent="0.3">
      <c r="A10" t="s">
        <v>58</v>
      </c>
      <c r="B10">
        <v>2026</v>
      </c>
      <c r="C10" t="s">
        <v>4</v>
      </c>
      <c r="D10" t="s">
        <v>6</v>
      </c>
      <c r="E10" s="2">
        <v>56</v>
      </c>
      <c r="F10" s="1">
        <v>3468993</v>
      </c>
    </row>
    <row r="11" spans="1:6" x14ac:dyDescent="0.3">
      <c r="E11" s="2"/>
      <c r="F11" s="1"/>
    </row>
    <row r="12" spans="1:6" x14ac:dyDescent="0.3">
      <c r="E12" s="2"/>
      <c r="F12" s="1"/>
    </row>
    <row r="13" spans="1:6" x14ac:dyDescent="0.3">
      <c r="E13" s="2"/>
      <c r="F13" s="1"/>
    </row>
    <row r="17" spans="1:7" x14ac:dyDescent="0.3">
      <c r="A17" t="s">
        <v>57</v>
      </c>
      <c r="B17" t="s">
        <v>0</v>
      </c>
      <c r="C17" t="s">
        <v>1</v>
      </c>
      <c r="D17" t="s">
        <v>5</v>
      </c>
      <c r="E17" t="s">
        <v>2</v>
      </c>
    </row>
    <row r="18" spans="1:7" x14ac:dyDescent="0.3">
      <c r="A18" t="s">
        <v>60</v>
      </c>
      <c r="B18">
        <v>2024</v>
      </c>
      <c r="C18" t="s">
        <v>3</v>
      </c>
      <c r="D18" t="s">
        <v>7</v>
      </c>
      <c r="E18" s="1">
        <v>82485131</v>
      </c>
    </row>
    <row r="19" spans="1:7" x14ac:dyDescent="0.3">
      <c r="A19" t="s">
        <v>60</v>
      </c>
      <c r="B19">
        <v>2024</v>
      </c>
      <c r="C19" t="s">
        <v>3</v>
      </c>
      <c r="D19" t="s">
        <v>6</v>
      </c>
      <c r="E19" s="1">
        <v>63078819</v>
      </c>
    </row>
    <row r="20" spans="1:7" x14ac:dyDescent="0.3">
      <c r="A20" t="s">
        <v>60</v>
      </c>
      <c r="B20">
        <v>2025</v>
      </c>
      <c r="C20" t="s">
        <v>3</v>
      </c>
      <c r="D20" t="s">
        <v>7</v>
      </c>
      <c r="E20" s="1">
        <v>225685382</v>
      </c>
    </row>
    <row r="21" spans="1:7" x14ac:dyDescent="0.3">
      <c r="A21" t="s">
        <v>60</v>
      </c>
      <c r="B21">
        <v>2025</v>
      </c>
      <c r="C21" t="s">
        <v>3</v>
      </c>
      <c r="D21" t="s">
        <v>6</v>
      </c>
      <c r="E21" s="1">
        <v>45111742</v>
      </c>
    </row>
    <row r="22" spans="1:7" x14ac:dyDescent="0.3">
      <c r="A22" t="s">
        <v>60</v>
      </c>
      <c r="B22">
        <v>2025</v>
      </c>
      <c r="C22" t="s">
        <v>4</v>
      </c>
      <c r="D22" t="s">
        <v>7</v>
      </c>
      <c r="E22" s="1">
        <v>69671000</v>
      </c>
    </row>
    <row r="23" spans="1:7" x14ac:dyDescent="0.3">
      <c r="A23" t="s">
        <v>60</v>
      </c>
      <c r="B23">
        <v>2025</v>
      </c>
      <c r="C23" t="s">
        <v>4</v>
      </c>
      <c r="D23" t="s">
        <v>6</v>
      </c>
      <c r="E23" s="1">
        <v>11356591</v>
      </c>
    </row>
    <row r="24" spans="1:7" x14ac:dyDescent="0.3">
      <c r="A24" t="s">
        <v>60</v>
      </c>
      <c r="B24">
        <v>2026</v>
      </c>
      <c r="C24" t="s">
        <v>4</v>
      </c>
      <c r="D24" t="s">
        <v>7</v>
      </c>
      <c r="E24" s="1">
        <v>37661254</v>
      </c>
    </row>
    <row r="25" spans="1:7" x14ac:dyDescent="0.3">
      <c r="A25" t="s">
        <v>60</v>
      </c>
      <c r="B25">
        <v>2026</v>
      </c>
      <c r="C25" t="s">
        <v>4</v>
      </c>
      <c r="D25" t="s">
        <v>6</v>
      </c>
      <c r="E25" s="1">
        <v>44147117</v>
      </c>
    </row>
    <row r="30" spans="1:7" x14ac:dyDescent="0.3">
      <c r="A30" t="s">
        <v>64</v>
      </c>
      <c r="B30" t="s">
        <v>0</v>
      </c>
      <c r="C30" t="s">
        <v>1</v>
      </c>
      <c r="D30" t="s">
        <v>5</v>
      </c>
      <c r="E30" t="s">
        <v>74</v>
      </c>
      <c r="F30" t="s">
        <v>62</v>
      </c>
      <c r="G30" t="s">
        <v>75</v>
      </c>
    </row>
    <row r="31" spans="1:7" x14ac:dyDescent="0.3">
      <c r="A31" t="s">
        <v>65</v>
      </c>
      <c r="B31">
        <v>2026</v>
      </c>
      <c r="C31" t="s">
        <v>4</v>
      </c>
      <c r="D31" t="s">
        <v>7</v>
      </c>
      <c r="E31" s="2">
        <v>420</v>
      </c>
      <c r="F31" s="1">
        <v>1941208339</v>
      </c>
      <c r="G31" s="1">
        <v>26140771.273373052</v>
      </c>
    </row>
    <row r="32" spans="1:7" x14ac:dyDescent="0.3">
      <c r="A32" t="s">
        <v>65</v>
      </c>
      <c r="B32">
        <v>2026</v>
      </c>
      <c r="C32" t="s">
        <v>4</v>
      </c>
      <c r="D32" t="s">
        <v>6</v>
      </c>
      <c r="E32" s="2">
        <v>16</v>
      </c>
      <c r="F32" s="1">
        <v>149440877</v>
      </c>
      <c r="G32" s="1">
        <v>979712.5201472909</v>
      </c>
    </row>
    <row r="33" spans="1:7" x14ac:dyDescent="0.3">
      <c r="A33" t="s">
        <v>66</v>
      </c>
      <c r="B33">
        <v>2026</v>
      </c>
      <c r="C33" t="s">
        <v>4</v>
      </c>
      <c r="D33" t="s">
        <v>7</v>
      </c>
      <c r="E33" s="2">
        <v>248.22740437010151</v>
      </c>
      <c r="F33" s="1">
        <v>1012707863</v>
      </c>
      <c r="G33" s="1">
        <v>15433787.094115425</v>
      </c>
    </row>
    <row r="34" spans="1:7" x14ac:dyDescent="0.3">
      <c r="A34" t="s">
        <v>66</v>
      </c>
      <c r="B34">
        <v>2026</v>
      </c>
      <c r="C34" t="s">
        <v>4</v>
      </c>
      <c r="D34" t="s">
        <v>6</v>
      </c>
      <c r="E34" s="2">
        <v>93</v>
      </c>
      <c r="F34" s="1">
        <v>143764796</v>
      </c>
      <c r="G34" s="1">
        <v>5758132.6989545925</v>
      </c>
    </row>
    <row r="35" spans="1:7" x14ac:dyDescent="0.3">
      <c r="A35" t="s">
        <v>63</v>
      </c>
      <c r="B35">
        <v>2026</v>
      </c>
      <c r="C35" t="s">
        <v>4</v>
      </c>
      <c r="D35" t="s">
        <v>7</v>
      </c>
      <c r="E35" s="2">
        <v>44.312100261374376</v>
      </c>
      <c r="F35" s="1">
        <v>138125217</v>
      </c>
      <c r="G35" s="1">
        <v>2755149.1458512121</v>
      </c>
    </row>
    <row r="36" spans="1:7" x14ac:dyDescent="0.3">
      <c r="A36" t="s">
        <v>63</v>
      </c>
      <c r="B36">
        <v>2026</v>
      </c>
      <c r="C36" t="s">
        <v>4</v>
      </c>
      <c r="D36" t="s">
        <v>6</v>
      </c>
      <c r="E36" s="2">
        <v>18</v>
      </c>
      <c r="F36" s="1">
        <v>77016131</v>
      </c>
      <c r="G36" s="1">
        <v>1094281.4141226669</v>
      </c>
    </row>
    <row r="37" spans="1:7" x14ac:dyDescent="0.3">
      <c r="A37" t="s">
        <v>67</v>
      </c>
      <c r="B37">
        <v>2026</v>
      </c>
      <c r="C37" t="s">
        <v>4</v>
      </c>
      <c r="D37" t="s">
        <v>7</v>
      </c>
      <c r="E37" s="2">
        <v>29.218219888534659</v>
      </c>
      <c r="F37" s="1">
        <v>93010431</v>
      </c>
      <c r="G37" s="1">
        <v>1816672.0397895304</v>
      </c>
    </row>
    <row r="38" spans="1:7" x14ac:dyDescent="0.3">
      <c r="A38" t="s">
        <v>67</v>
      </c>
      <c r="B38">
        <v>2026</v>
      </c>
      <c r="C38" t="s">
        <v>4</v>
      </c>
      <c r="D38" t="s">
        <v>6</v>
      </c>
      <c r="E38" s="2">
        <v>1</v>
      </c>
      <c r="F38" s="1">
        <v>7846428</v>
      </c>
      <c r="G38" s="1">
        <v>71199.202455029939</v>
      </c>
    </row>
    <row r="39" spans="1:7" x14ac:dyDescent="0.3">
      <c r="A39" t="s">
        <v>68</v>
      </c>
      <c r="B39">
        <v>2026</v>
      </c>
      <c r="C39" t="s">
        <v>4</v>
      </c>
      <c r="D39" t="s">
        <v>7</v>
      </c>
      <c r="E39" s="2">
        <v>7.0523708622352519</v>
      </c>
      <c r="F39" s="1">
        <v>20883129</v>
      </c>
      <c r="G39" s="1">
        <v>438488.21073033899</v>
      </c>
    </row>
    <row r="40" spans="1:7" x14ac:dyDescent="0.3">
      <c r="A40" t="s">
        <v>68</v>
      </c>
      <c r="B40">
        <v>2026</v>
      </c>
      <c r="C40" t="s">
        <v>4</v>
      </c>
      <c r="D40" t="s">
        <v>6</v>
      </c>
      <c r="E40" s="2">
        <v>0</v>
      </c>
      <c r="F40" s="1">
        <v>0</v>
      </c>
      <c r="G40" s="1">
        <v>0</v>
      </c>
    </row>
  </sheetData>
  <sortState xmlns:xlrd2="http://schemas.microsoft.com/office/spreadsheetml/2017/richdata2" ref="A18:F25">
    <sortCondition ref="A18:A25"/>
    <sortCondition ref="B18:B25"/>
    <sortCondition ref="C18:C25"/>
  </sortState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F129-0A71-49A7-BB93-049204AA2A86}">
  <dimension ref="A1:H21"/>
  <sheetViews>
    <sheetView workbookViewId="0">
      <selection activeCell="B20" sqref="B20:G21"/>
    </sheetView>
  </sheetViews>
  <sheetFormatPr baseColWidth="10" defaultRowHeight="14.4" x14ac:dyDescent="0.3"/>
  <cols>
    <col min="6" max="6" width="13.21875" customWidth="1"/>
    <col min="7" max="7" width="11.77734375" customWidth="1"/>
    <col min="8" max="8" width="15.33203125" bestFit="1" customWidth="1"/>
  </cols>
  <sheetData>
    <row r="1" spans="1:7" x14ac:dyDescent="0.3">
      <c r="A1" t="s">
        <v>5</v>
      </c>
      <c r="B1" t="s">
        <v>72</v>
      </c>
      <c r="C1" t="s">
        <v>64</v>
      </c>
      <c r="D1" t="s">
        <v>0</v>
      </c>
      <c r="E1" t="s">
        <v>1</v>
      </c>
      <c r="F1" t="s">
        <v>61</v>
      </c>
      <c r="G1" t="s">
        <v>62</v>
      </c>
    </row>
    <row r="2" spans="1:7" x14ac:dyDescent="0.3">
      <c r="A2" t="s">
        <v>6</v>
      </c>
      <c r="B2">
        <v>1</v>
      </c>
      <c r="C2" t="s">
        <v>65</v>
      </c>
      <c r="D2">
        <v>2026</v>
      </c>
      <c r="E2" t="s">
        <v>4</v>
      </c>
      <c r="F2" s="2">
        <v>9619</v>
      </c>
      <c r="G2" s="1">
        <v>149440877</v>
      </c>
    </row>
    <row r="3" spans="1:7" x14ac:dyDescent="0.3">
      <c r="A3" t="s">
        <v>6</v>
      </c>
      <c r="B3">
        <v>2</v>
      </c>
      <c r="C3" t="s">
        <v>66</v>
      </c>
      <c r="D3">
        <v>2026</v>
      </c>
      <c r="E3" t="s">
        <v>4</v>
      </c>
      <c r="F3" s="2">
        <v>8168</v>
      </c>
      <c r="G3" s="1">
        <v>143764796</v>
      </c>
    </row>
    <row r="4" spans="1:7" x14ac:dyDescent="0.3">
      <c r="A4" t="s">
        <v>6</v>
      </c>
      <c r="B4">
        <v>3</v>
      </c>
      <c r="C4" t="s">
        <v>63</v>
      </c>
      <c r="D4">
        <v>2026</v>
      </c>
      <c r="E4" t="s">
        <v>4</v>
      </c>
      <c r="F4" s="2">
        <v>7030</v>
      </c>
      <c r="G4" s="1">
        <v>77016131</v>
      </c>
    </row>
    <row r="5" spans="1:7" x14ac:dyDescent="0.3">
      <c r="A5" t="s">
        <v>6</v>
      </c>
      <c r="B5">
        <v>4</v>
      </c>
      <c r="C5" t="s">
        <v>67</v>
      </c>
      <c r="D5">
        <v>2026</v>
      </c>
      <c r="E5" t="s">
        <v>4</v>
      </c>
      <c r="F5" s="2">
        <v>455</v>
      </c>
      <c r="G5" s="1">
        <v>7846428</v>
      </c>
    </row>
    <row r="6" spans="1:7" x14ac:dyDescent="0.3">
      <c r="A6" t="s">
        <v>6</v>
      </c>
      <c r="B6">
        <v>5</v>
      </c>
      <c r="C6" t="s">
        <v>68</v>
      </c>
      <c r="D6">
        <v>2026</v>
      </c>
      <c r="E6" t="s">
        <v>4</v>
      </c>
      <c r="F6" s="2">
        <v>0</v>
      </c>
      <c r="G6" s="1">
        <v>0</v>
      </c>
    </row>
    <row r="7" spans="1:7" hidden="1" x14ac:dyDescent="0.3">
      <c r="A7" t="s">
        <v>7</v>
      </c>
      <c r="B7">
        <v>1</v>
      </c>
      <c r="C7" t="s">
        <v>65</v>
      </c>
      <c r="D7">
        <v>2026</v>
      </c>
      <c r="E7" t="s">
        <v>4</v>
      </c>
      <c r="F7" s="2">
        <v>541495</v>
      </c>
      <c r="G7" s="1">
        <v>1941208339</v>
      </c>
    </row>
    <row r="8" spans="1:7" hidden="1" x14ac:dyDescent="0.3">
      <c r="A8" t="s">
        <v>7</v>
      </c>
      <c r="B8">
        <v>2</v>
      </c>
      <c r="C8" t="s">
        <v>66</v>
      </c>
      <c r="D8">
        <v>2026</v>
      </c>
      <c r="E8" t="s">
        <v>4</v>
      </c>
      <c r="F8" s="2">
        <v>137626</v>
      </c>
      <c r="G8" s="1">
        <v>1012707863</v>
      </c>
    </row>
    <row r="9" spans="1:7" hidden="1" x14ac:dyDescent="0.3">
      <c r="A9" t="s">
        <v>7</v>
      </c>
      <c r="B9">
        <v>3</v>
      </c>
      <c r="C9" t="s">
        <v>63</v>
      </c>
      <c r="D9">
        <v>2026</v>
      </c>
      <c r="E9" t="s">
        <v>4</v>
      </c>
      <c r="F9" s="2">
        <v>13088</v>
      </c>
      <c r="G9" s="1">
        <v>138125217</v>
      </c>
    </row>
    <row r="10" spans="1:7" hidden="1" x14ac:dyDescent="0.3">
      <c r="A10" t="s">
        <v>7</v>
      </c>
      <c r="B10">
        <v>4</v>
      </c>
      <c r="C10" t="s">
        <v>67</v>
      </c>
      <c r="D10">
        <v>2026</v>
      </c>
      <c r="E10" t="s">
        <v>4</v>
      </c>
      <c r="F10" s="2">
        <v>16067</v>
      </c>
      <c r="G10" s="1">
        <v>93010431</v>
      </c>
    </row>
    <row r="11" spans="1:7" hidden="1" x14ac:dyDescent="0.3">
      <c r="A11" t="s">
        <v>7</v>
      </c>
      <c r="B11">
        <v>5</v>
      </c>
      <c r="C11" t="s">
        <v>68</v>
      </c>
      <c r="D11">
        <v>2026</v>
      </c>
      <c r="E11" t="s">
        <v>4</v>
      </c>
      <c r="F11" s="2">
        <v>4082</v>
      </c>
      <c r="G11" s="1">
        <v>20883129</v>
      </c>
    </row>
    <row r="19" spans="2:8" x14ac:dyDescent="0.3">
      <c r="B19" s="5" t="s">
        <v>62</v>
      </c>
      <c r="C19" s="11">
        <v>149440877</v>
      </c>
      <c r="D19" s="12">
        <v>143764796</v>
      </c>
      <c r="E19" s="11">
        <v>77016131</v>
      </c>
      <c r="F19" s="12">
        <v>7846428</v>
      </c>
      <c r="G19" s="11">
        <v>0</v>
      </c>
      <c r="H19" s="7">
        <f>SUM(C19:G19)</f>
        <v>378068232</v>
      </c>
    </row>
    <row r="20" spans="2:8" x14ac:dyDescent="0.3">
      <c r="B20" s="4" t="s">
        <v>64</v>
      </c>
      <c r="C20" s="14" t="s">
        <v>65</v>
      </c>
      <c r="D20" s="15" t="s">
        <v>66</v>
      </c>
      <c r="E20" s="14" t="s">
        <v>63</v>
      </c>
      <c r="F20" s="15" t="s">
        <v>67</v>
      </c>
      <c r="G20" s="14" t="s">
        <v>68</v>
      </c>
    </row>
    <row r="21" spans="2:8" x14ac:dyDescent="0.3">
      <c r="B21" s="4" t="s">
        <v>73</v>
      </c>
      <c r="C21" s="13">
        <f>C19/$H$19</f>
        <v>0.39527488519585535</v>
      </c>
      <c r="D21" s="13">
        <f t="shared" ref="D21:G21" si="0">D19/$H$19</f>
        <v>0.38026150792801866</v>
      </c>
      <c r="E21" s="13">
        <f t="shared" si="0"/>
        <v>0.20370960710605276</v>
      </c>
      <c r="F21" s="13">
        <f t="shared" si="0"/>
        <v>2.075399977007325E-2</v>
      </c>
      <c r="G21" s="13">
        <f t="shared" si="0"/>
        <v>0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A9F3-E102-4B5A-93C5-F6C0684EBD9C}">
  <dimension ref="A2:A63"/>
  <sheetViews>
    <sheetView workbookViewId="0">
      <selection activeCell="B20" sqref="B20:G21"/>
    </sheetView>
  </sheetViews>
  <sheetFormatPr baseColWidth="10" defaultRowHeight="14.4" x14ac:dyDescent="0.3"/>
  <sheetData>
    <row r="2" spans="1:1" ht="18" x14ac:dyDescent="0.35">
      <c r="A2" s="3" t="s">
        <v>8</v>
      </c>
    </row>
    <row r="4" spans="1:1" x14ac:dyDescent="0.3">
      <c r="A4" t="s">
        <v>9</v>
      </c>
    </row>
    <row r="5" spans="1:1" x14ac:dyDescent="0.3">
      <c r="A5" t="s">
        <v>10</v>
      </c>
    </row>
    <row r="6" spans="1:1" x14ac:dyDescent="0.3">
      <c r="A6" t="s">
        <v>11</v>
      </c>
    </row>
    <row r="7" spans="1:1" x14ac:dyDescent="0.3">
      <c r="A7" t="s">
        <v>12</v>
      </c>
    </row>
    <row r="8" spans="1:1" x14ac:dyDescent="0.3">
      <c r="A8" t="s">
        <v>13</v>
      </c>
    </row>
    <row r="9" spans="1:1" x14ac:dyDescent="0.3">
      <c r="A9" t="s">
        <v>14</v>
      </c>
    </row>
    <row r="10" spans="1:1" x14ac:dyDescent="0.3">
      <c r="A10" t="s">
        <v>15</v>
      </c>
    </row>
    <row r="11" spans="1:1" x14ac:dyDescent="0.3">
      <c r="A11" t="s">
        <v>16</v>
      </c>
    </row>
    <row r="12" spans="1:1" x14ac:dyDescent="0.3">
      <c r="A12" t="s">
        <v>17</v>
      </c>
    </row>
    <row r="13" spans="1:1" x14ac:dyDescent="0.3">
      <c r="A13" t="s">
        <v>18</v>
      </c>
    </row>
    <row r="14" spans="1:1" x14ac:dyDescent="0.3">
      <c r="A14" t="s">
        <v>19</v>
      </c>
    </row>
    <row r="15" spans="1:1" x14ac:dyDescent="0.3">
      <c r="A15" t="s">
        <v>20</v>
      </c>
    </row>
    <row r="16" spans="1:1" x14ac:dyDescent="0.3">
      <c r="A16" t="s">
        <v>21</v>
      </c>
    </row>
    <row r="18" spans="1:1" x14ac:dyDescent="0.3">
      <c r="A18" t="s">
        <v>22</v>
      </c>
    </row>
    <row r="20" spans="1:1" ht="18" x14ac:dyDescent="0.35">
      <c r="A20" s="3" t="s">
        <v>23</v>
      </c>
    </row>
    <row r="22" spans="1:1" x14ac:dyDescent="0.3">
      <c r="A22" t="s">
        <v>24</v>
      </c>
    </row>
    <row r="23" spans="1:1" x14ac:dyDescent="0.3">
      <c r="A23" t="s">
        <v>25</v>
      </c>
    </row>
    <row r="24" spans="1:1" x14ac:dyDescent="0.3">
      <c r="A24" t="s">
        <v>26</v>
      </c>
    </row>
    <row r="25" spans="1:1" x14ac:dyDescent="0.3">
      <c r="A25" t="s">
        <v>27</v>
      </c>
    </row>
    <row r="26" spans="1:1" x14ac:dyDescent="0.3">
      <c r="A26" t="s">
        <v>28</v>
      </c>
    </row>
    <row r="27" spans="1:1" x14ac:dyDescent="0.3">
      <c r="A27" t="s">
        <v>29</v>
      </c>
    </row>
    <row r="28" spans="1:1" x14ac:dyDescent="0.3">
      <c r="A28" t="s">
        <v>30</v>
      </c>
    </row>
    <row r="29" spans="1:1" x14ac:dyDescent="0.3">
      <c r="A29" t="s">
        <v>31</v>
      </c>
    </row>
    <row r="30" spans="1:1" x14ac:dyDescent="0.3">
      <c r="A30" t="s">
        <v>32</v>
      </c>
    </row>
    <row r="31" spans="1:1" x14ac:dyDescent="0.3">
      <c r="A31" t="s">
        <v>33</v>
      </c>
    </row>
    <row r="32" spans="1:1" x14ac:dyDescent="0.3">
      <c r="A32" t="s">
        <v>34</v>
      </c>
    </row>
    <row r="34" spans="1:1" ht="18" x14ac:dyDescent="0.35">
      <c r="A34" s="3" t="s">
        <v>35</v>
      </c>
    </row>
    <row r="36" spans="1:1" x14ac:dyDescent="0.3">
      <c r="A36" t="s">
        <v>36</v>
      </c>
    </row>
    <row r="38" spans="1:1" x14ac:dyDescent="0.3">
      <c r="A38" t="s">
        <v>37</v>
      </c>
    </row>
    <row r="39" spans="1:1" x14ac:dyDescent="0.3">
      <c r="A39" t="s">
        <v>38</v>
      </c>
    </row>
    <row r="40" spans="1:1" x14ac:dyDescent="0.3">
      <c r="A40" t="s">
        <v>39</v>
      </c>
    </row>
    <row r="41" spans="1:1" x14ac:dyDescent="0.3">
      <c r="A41" t="s">
        <v>40</v>
      </c>
    </row>
    <row r="42" spans="1:1" x14ac:dyDescent="0.3">
      <c r="A42" t="s">
        <v>41</v>
      </c>
    </row>
    <row r="43" spans="1:1" x14ac:dyDescent="0.3">
      <c r="A43" t="s">
        <v>42</v>
      </c>
    </row>
    <row r="44" spans="1:1" x14ac:dyDescent="0.3">
      <c r="A44" t="s">
        <v>43</v>
      </c>
    </row>
    <row r="46" spans="1:1" x14ac:dyDescent="0.3">
      <c r="A46" t="s">
        <v>44</v>
      </c>
    </row>
    <row r="48" spans="1:1" ht="18" x14ac:dyDescent="0.35">
      <c r="A48" s="3" t="s">
        <v>45</v>
      </c>
    </row>
    <row r="50" spans="1:1" x14ac:dyDescent="0.3">
      <c r="A50" t="s">
        <v>46</v>
      </c>
    </row>
    <row r="51" spans="1:1" x14ac:dyDescent="0.3">
      <c r="A51" t="s">
        <v>47</v>
      </c>
    </row>
    <row r="52" spans="1:1" x14ac:dyDescent="0.3">
      <c r="A52" t="s">
        <v>48</v>
      </c>
    </row>
    <row r="53" spans="1:1" x14ac:dyDescent="0.3">
      <c r="A53" t="s">
        <v>49</v>
      </c>
    </row>
    <row r="55" spans="1:1" ht="18" x14ac:dyDescent="0.35">
      <c r="A55" s="3" t="s">
        <v>50</v>
      </c>
    </row>
    <row r="57" spans="1:1" x14ac:dyDescent="0.3">
      <c r="A57" t="s">
        <v>51</v>
      </c>
    </row>
    <row r="58" spans="1:1" x14ac:dyDescent="0.3">
      <c r="A58" t="s">
        <v>52</v>
      </c>
    </row>
    <row r="60" spans="1:1" x14ac:dyDescent="0.3">
      <c r="A60" t="s">
        <v>53</v>
      </c>
    </row>
    <row r="61" spans="1:1" x14ac:dyDescent="0.3">
      <c r="A61" t="s">
        <v>54</v>
      </c>
    </row>
    <row r="62" spans="1:1" x14ac:dyDescent="0.3">
      <c r="A62" t="s">
        <v>55</v>
      </c>
    </row>
    <row r="63" spans="1:1" x14ac:dyDescent="0.3">
      <c r="A63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686CB-029F-4405-A3B2-E96922BA56DE}">
  <dimension ref="A1:G13"/>
  <sheetViews>
    <sheetView workbookViewId="0">
      <selection activeCell="B20" sqref="B20:G21"/>
    </sheetView>
  </sheetViews>
  <sheetFormatPr baseColWidth="10" defaultRowHeight="14.4" x14ac:dyDescent="0.3"/>
  <cols>
    <col min="3" max="3" width="13.77734375" bestFit="1" customWidth="1"/>
    <col min="5" max="5" width="13.77734375" bestFit="1" customWidth="1"/>
  </cols>
  <sheetData>
    <row r="1" spans="1:7" x14ac:dyDescent="0.3">
      <c r="A1" t="s">
        <v>57</v>
      </c>
      <c r="B1" t="s">
        <v>0</v>
      </c>
      <c r="C1" t="s">
        <v>1</v>
      </c>
      <c r="D1" t="s">
        <v>5</v>
      </c>
      <c r="E1" t="s">
        <v>2</v>
      </c>
      <c r="F1" s="5" t="s">
        <v>70</v>
      </c>
      <c r="G1" t="s">
        <v>71</v>
      </c>
    </row>
    <row r="2" spans="1:7" x14ac:dyDescent="0.3">
      <c r="A2" t="s">
        <v>60</v>
      </c>
      <c r="B2">
        <v>2024</v>
      </c>
      <c r="C2" t="s">
        <v>3</v>
      </c>
      <c r="D2" t="s">
        <v>7</v>
      </c>
      <c r="E2" s="1">
        <v>82485131</v>
      </c>
      <c r="F2" s="9" t="e">
        <f>(E2-E1)/E1</f>
        <v>#VALUE!</v>
      </c>
    </row>
    <row r="3" spans="1:7" hidden="1" x14ac:dyDescent="0.3">
      <c r="A3" t="s">
        <v>60</v>
      </c>
      <c r="B3">
        <v>2024</v>
      </c>
      <c r="C3" t="s">
        <v>3</v>
      </c>
      <c r="D3" t="s">
        <v>6</v>
      </c>
      <c r="E3" s="1">
        <v>63078819</v>
      </c>
      <c r="F3" s="10">
        <f>(E3-E2)/E2</f>
        <v>-0.23527042710279505</v>
      </c>
    </row>
    <row r="4" spans="1:7" x14ac:dyDescent="0.3">
      <c r="A4" t="s">
        <v>60</v>
      </c>
      <c r="B4">
        <v>2025</v>
      </c>
      <c r="C4" t="s">
        <v>3</v>
      </c>
      <c r="D4" t="s">
        <v>7</v>
      </c>
      <c r="E4" s="1">
        <v>225685382</v>
      </c>
      <c r="F4" s="9">
        <f>(E4-E2)/E2</f>
        <v>1.7360735112368313</v>
      </c>
    </row>
    <row r="5" spans="1:7" hidden="1" x14ac:dyDescent="0.3">
      <c r="A5" t="s">
        <v>60</v>
      </c>
      <c r="B5">
        <v>2025</v>
      </c>
      <c r="C5" t="s">
        <v>3</v>
      </c>
      <c r="D5" t="s">
        <v>6</v>
      </c>
      <c r="E5" s="1">
        <v>45111742</v>
      </c>
      <c r="F5" s="10">
        <f>(E5-E3)/E3</f>
        <v>-0.28483534227234025</v>
      </c>
    </row>
    <row r="6" spans="1:7" x14ac:dyDescent="0.3">
      <c r="A6" t="s">
        <v>60</v>
      </c>
      <c r="B6">
        <v>2025</v>
      </c>
      <c r="C6" t="s">
        <v>4</v>
      </c>
      <c r="D6" t="s">
        <v>7</v>
      </c>
      <c r="E6" s="1">
        <v>69671000</v>
      </c>
      <c r="F6" s="9">
        <f>(E6-E4)/E4</f>
        <v>-0.69129148116469497</v>
      </c>
    </row>
    <row r="7" spans="1:7" hidden="1" x14ac:dyDescent="0.3">
      <c r="A7" t="s">
        <v>60</v>
      </c>
      <c r="B7">
        <v>2025</v>
      </c>
      <c r="C7" t="s">
        <v>4</v>
      </c>
      <c r="D7" t="s">
        <v>6</v>
      </c>
      <c r="E7" s="1">
        <v>11356591</v>
      </c>
      <c r="F7" s="10">
        <f>(E7-E6)/E6</f>
        <v>-0.83699687100802345</v>
      </c>
    </row>
    <row r="8" spans="1:7" x14ac:dyDescent="0.3">
      <c r="A8" t="s">
        <v>60</v>
      </c>
      <c r="B8">
        <v>2026</v>
      </c>
      <c r="C8" t="s">
        <v>4</v>
      </c>
      <c r="D8" t="s">
        <v>7</v>
      </c>
      <c r="E8" s="1">
        <v>37661254</v>
      </c>
      <c r="F8" s="9">
        <f>(E8-E6)/E6</f>
        <v>-0.45944146057900703</v>
      </c>
      <c r="G8" s="8">
        <f>(E8-E4)/E4</f>
        <v>-0.83312497395156948</v>
      </c>
    </row>
    <row r="9" spans="1:7" hidden="1" x14ac:dyDescent="0.3">
      <c r="A9" t="s">
        <v>60</v>
      </c>
      <c r="B9">
        <v>2026</v>
      </c>
      <c r="C9" t="s">
        <v>4</v>
      </c>
      <c r="D9" t="s">
        <v>6</v>
      </c>
      <c r="E9" s="1">
        <v>44147117</v>
      </c>
      <c r="F9" s="10">
        <f>(E9-E7)/E7</f>
        <v>2.8873564258851974</v>
      </c>
      <c r="G9" s="8">
        <f>(E9-E5)/E5</f>
        <v>-2.1383013761694238E-2</v>
      </c>
    </row>
    <row r="10" spans="1:7" hidden="1" x14ac:dyDescent="0.3">
      <c r="A10" t="s">
        <v>60</v>
      </c>
      <c r="B10">
        <v>2024</v>
      </c>
      <c r="C10" t="s">
        <v>3</v>
      </c>
      <c r="D10" s="6" t="s">
        <v>69</v>
      </c>
      <c r="E10" s="7">
        <f>E2+E3</f>
        <v>145563950</v>
      </c>
      <c r="F10" s="9">
        <f>(E10-E9)/E9</f>
        <v>2.2972470206831401</v>
      </c>
    </row>
    <row r="11" spans="1:7" hidden="1" x14ac:dyDescent="0.3">
      <c r="A11" t="s">
        <v>60</v>
      </c>
      <c r="B11">
        <v>2025</v>
      </c>
      <c r="C11" t="s">
        <v>3</v>
      </c>
      <c r="D11" s="6" t="s">
        <v>69</v>
      </c>
      <c r="E11" s="7">
        <f>E4+E5</f>
        <v>270797124</v>
      </c>
      <c r="F11" s="10">
        <f>(E11-E10)/E10</f>
        <v>0.86033096793539887</v>
      </c>
    </row>
    <row r="12" spans="1:7" hidden="1" x14ac:dyDescent="0.3">
      <c r="A12" t="s">
        <v>60</v>
      </c>
      <c r="B12">
        <v>2025</v>
      </c>
      <c r="C12" t="s">
        <v>4</v>
      </c>
      <c r="D12" s="6" t="s">
        <v>69</v>
      </c>
      <c r="E12" s="7">
        <f>E6+E7</f>
        <v>81027591</v>
      </c>
      <c r="F12" s="9">
        <f>(E12-E11)/E11</f>
        <v>-0.70078119810460027</v>
      </c>
    </row>
    <row r="13" spans="1:7" hidden="1" x14ac:dyDescent="0.3">
      <c r="A13" t="s">
        <v>60</v>
      </c>
      <c r="B13">
        <v>2026</v>
      </c>
      <c r="C13" t="s">
        <v>4</v>
      </c>
      <c r="D13" s="6" t="s">
        <v>69</v>
      </c>
      <c r="E13" s="7">
        <f>E8+E9</f>
        <v>81808371</v>
      </c>
      <c r="F13" s="10">
        <f>(E13-E12)/E12</f>
        <v>9.6359769599962553E-3</v>
      </c>
      <c r="G13" s="8">
        <f>(E13-E11)/E11</f>
        <v>-0.6978979326235385</v>
      </c>
    </row>
  </sheetData>
  <phoneticPr fontId="4" type="noConversion"/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Hoja4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Ismael Chantre Ulchur</dc:creator>
  <cp:lastModifiedBy>Ismael Chantre Ulchur</cp:lastModifiedBy>
  <dcterms:created xsi:type="dcterms:W3CDTF">2026-02-12T15:48:34Z</dcterms:created>
  <dcterms:modified xsi:type="dcterms:W3CDTF">2026-02-19T16:05:22Z</dcterms:modified>
</cp:coreProperties>
</file>